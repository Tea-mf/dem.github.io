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<sst xmlns="http://schemas.openxmlformats.org/spreadsheetml/2006/main" xmlns:a="http://schemas.openxmlformats.org/drawingml/2006/main" xmlns:a15="http://schemas.microsoft.com/office/drawing/2012/main" xmlns:asvg="http://schemas.microsoft.com/office/drawing/2016/SVG/main" xmlns:c="http://schemas.openxmlformats.org/drawingml/2006/chart" xmlns:co="http://ncloudtech.com" xmlns:co-ooxml="http://ncloudtech.com/ooxml" xmlns:m="http://schemas.openxmlformats.org/officeDocument/2006/math" xmlns:mc="http://schemas.openxmlformats.org/markup-compatibility/2006" xmlns:o="urn:schemas-microsoft-com:office:office" xmlns:p="http://schemas.openxmlformats.org/presentationml/2006/main" xmlns:pic="http://schemas.openxmlformats.org/drawingml/2006/picture" xmlns:r="http://schemas.openxmlformats.org/officeDocument/2006/relationships" xmlns:s="http://schemas.openxmlformats.org/officeDocument/2006/sharedTypes" xmlns:sl="http://schemas.openxmlformats.org/schemaLibrary/2006/main" xmlns:v="urn:schemas-microsoft-com:vml" xmlns:w="http://schemas.openxmlformats.org/wordprocessingml/2006/main" xmlns:w10="urn:schemas-microsoft-com:office:word" xmlns:w14="http://schemas.microsoft.com/office/word/2010/wordml" xmlns:w15="http://schemas.microsoft.com/office/word/2012/wordml" xmlns:wp="http://schemas.openxmlformats.org/drawingml/2006/wordprocessingDrawing" xmlns:wpg="http://schemas.microsoft.com/office/word/2010/wordprocessingGroup" xmlns:wps="http://schemas.microsoft.com/office/word/2010/wordprocessingShape" xmlns:x="urn:schemas-microsoft-com:office:excel" xmlns:x12ac="http://schemas.microsoft.com/office/spreadsheetml/2011/1/ac" xmlns:x14="http://schemas.microsoft.com/office/spreadsheetml/2009/9/main" xmlns:xdr="http://schemas.openxmlformats.org/drawingml/2006/spreadsheetDrawing" xmlns:xm="http://schemas.microsoft.com/office/excel/2006/main" mc:Ignorable="co co-ooxml w14 x14 w15">
  <si>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Carlito"/>
        <sz val="11"/>
      </rPr>
      <t>Максимальный показатель</t>
    </r>
  </si>
  <si>
    <r>
      <rPr>
        <rFont val="Carlito"/>
        <sz val="11"/>
      </rPr>
      <t>Сумма</t>
    </r>
  </si>
  <si>
    <r>
      <rPr>
        <rFont val="Carlito"/>
        <sz val="11"/>
      </rPr>
      <t>Максимальный показатель</t>
    </r>
  </si>
  <si>
    <r>
      <rPr>
        <rFont val="Carlito"/>
        <sz val="11"/>
      </rPr>
      <t>Сумма</t>
    </r>
  </si>
  <si>
    <r>
      <rPr>
        <rFont val="Carlito"/>
        <sz val="11"/>
      </rPr>
      <t>Максимальный показатель</t>
    </r>
  </si>
  <si>
    <t>Сумма для 2</t>
  </si>
  <si>
    <t>Сумма для 3</t>
  </si>
  <si/>
  <si>
    <r>
      <rPr>
        <rFont val="Carlito"/>
        <sz val="11"/>
      </rPr>
      <t>Статистическая функция</t>
    </r>
  </si>
  <si>
    <r>
      <rPr>
        <rFont val="Carlito"/>
        <sz val="11"/>
      </rPr>
      <t>Для А (Лист 3)</t>
    </r>
  </si>
  <si>
    <r>
      <rPr>
        <rFont val="Carlito"/>
        <sz val="11"/>
      </rPr>
      <t>Для В (Лист 3)</t>
    </r>
  </si>
  <si>
    <r>
      <rPr>
        <rFont val="Carlito"/>
        <sz val="11"/>
      </rPr>
      <t>Для С (Лист 3)</t>
    </r>
  </si>
  <si>
    <r>
      <rPr>
        <rFont val="Carlito"/>
        <sz val="11"/>
      </rPr>
      <t>Среднее значение</t>
    </r>
  </si>
  <si>
    <r>
      <rPr>
        <rFont val="Carlito"/>
        <sz val="11"/>
      </rPr>
      <t>Максимальное значение</t>
    </r>
  </si>
  <si>
    <r>
      <rPr>
        <rFont val="Carlito"/>
        <sz val="11"/>
      </rPr>
      <t>Минимальное значение</t>
    </r>
  </si>
  <si>
    <r>
      <rPr>
        <rFont val="Carlito"/>
        <sz val="11"/>
      </rPr>
      <t>Медиана</t>
    </r>
  </si>
  <si>
    <r>
      <rPr>
        <rFont val="Carlito"/>
        <sz val="11"/>
      </rPr>
      <t>Мода</t>
    </r>
  </si>
  <si>
    <r>
      <rPr>
        <rFont val="Carlito"/>
        <sz val="11"/>
      </rPr>
      <t>Дисперсия</t>
    </r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</si>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</sst>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Carlito"/>
      <sz val="11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borderId="0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Суммарные доходов колледжей от продаж по годам
</a:t>
            </a:r>
          </a:p>
        </c:rich>
      </c:tx>
      <c:layout>
        <c:manualLayout>
          <c:xMode val="edge"/>
          <c:yMode val="edge"/>
          <c:x val="0.13233081996440887"/>
          <c:y val="0"/>
        </c:manualLayout>
      </c:layout>
    </c:title>
    <c:autoTitleDeleted val="false"/>
    <c:plotArea>
      <c:lineChart>
        <c:grouping val="stacked"/>
        <c:ser>
          <c:idx val="0"/>
          <c:order val="0"/>
          <c:tx>
            <c:strRef>
              <c:f>'Лист5'!A2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'Лист5'!B2:H2</c:f>
            </c:numRef>
          </c:val>
          <c:smooth val="false"/>
        </c:ser>
        <c:ser>
          <c:idx val="1"/>
          <c:order val="1"/>
          <c:tx>
            <c:strRef>
              <c:f>'Лист5'!A3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'Лист5'!B3:H3</c:f>
            </c:numRef>
          </c:val>
          <c:smooth val="false"/>
        </c:ser>
        <c:ser>
          <c:idx val="2"/>
          <c:order val="2"/>
          <c:tx>
            <c:strRef>
              <c:f>'Лист5'!A4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'Лист5'!B4:H4</c:f>
            </c:numRef>
          </c:val>
          <c:smooth val="false"/>
        </c:ser>
        <c:ser>
          <c:idx val="3"/>
          <c:order val="3"/>
          <c:tx>
            <c:strRef>
              <c:f>'Лист5'!A5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962774" y="-9525"/>
    <xdr:ext cx="6635751" cy="49149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140996121526953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1" t="n">
        <v>0</v>
      </c>
      <c r="B2" s="0" t="n">
        <f aca="false" ca="false" dt2D="false" dtr="false" t="normal">POWER(2, A2)</f>
        <v>1</v>
      </c>
    </row>
    <row outlineLevel="0" r="3">
      <c r="A3" s="1" t="n">
        <v>1</v>
      </c>
      <c r="B3" s="0" t="n">
        <f aca="false" ca="false" dt2D="false" dtr="false" t="normal">SUM(POWER(2, A3), B2)</f>
        <v>3</v>
      </c>
    </row>
    <row outlineLevel="0" r="4">
      <c r="A4" s="1" t="n">
        <v>2</v>
      </c>
      <c r="B4" s="0" t="n">
        <f aca="false" ca="false" dt2D="false" dtr="false" t="normal">SUM(POWER(2, A4), B3)</f>
        <v>7</v>
      </c>
    </row>
    <row outlineLevel="0" r="5">
      <c r="A5" s="1" t="n">
        <v>3</v>
      </c>
      <c r="B5" s="0" t="n">
        <f aca="false" ca="false" dt2D="false" dtr="false" t="normal">SUM(POWER(2, A5), B4)</f>
        <v>15</v>
      </c>
    </row>
    <row outlineLevel="0" r="6">
      <c r="A6" s="1" t="n">
        <v>4</v>
      </c>
      <c r="B6" s="0" t="n">
        <f aca="false" ca="false" dt2D="false" dtr="false" t="normal">SUM(POWER(2, A6), B5)</f>
        <v>31</v>
      </c>
    </row>
    <row outlineLevel="0" r="7">
      <c r="A7" s="1" t="n">
        <v>5</v>
      </c>
      <c r="B7" s="0" t="n">
        <f aca="false" ca="false" dt2D="false" dtr="false" t="normal">SUM(POWER(2, A7), B6)</f>
        <v>63</v>
      </c>
    </row>
    <row outlineLevel="0" r="8">
      <c r="A8" s="1" t="n">
        <v>6</v>
      </c>
      <c r="B8" s="0" t="n">
        <f aca="false" ca="false" dt2D="false" dtr="false" t="normal">SUM(POWER(2, A8), B7)</f>
        <v>127</v>
      </c>
    </row>
    <row outlineLevel="0" r="9">
      <c r="A9" s="1" t="n">
        <v>7</v>
      </c>
      <c r="B9" s="0" t="n">
        <f aca="false" ca="false" dt2D="false" dtr="false" t="normal">SUM(POWER(2, A9), B8)</f>
        <v>255</v>
      </c>
    </row>
    <row outlineLevel="0" r="10">
      <c r="A10" s="1" t="n">
        <v>8</v>
      </c>
      <c r="B10" s="0" t="n">
        <f aca="false" ca="false" dt2D="false" dtr="false" t="normal">SUM(POWER(2, A10), B9)</f>
        <v>511</v>
      </c>
    </row>
    <row outlineLevel="0" r="11">
      <c r="A11" s="1" t="n">
        <v>9</v>
      </c>
      <c r="B11" s="0" t="n">
        <f aca="false" ca="false" dt2D="false" dtr="false" t="normal">SUM(POWER(2, A11), B10)</f>
        <v>1023</v>
      </c>
    </row>
    <row outlineLevel="0" r="12">
      <c r="A12" s="1" t="n">
        <v>10</v>
      </c>
      <c r="B12" s="0" t="n">
        <f aca="false" ca="false" dt2D="false" dtr="false" t="normal">SUM(POWER(2, A12), B11)</f>
        <v>2047</v>
      </c>
    </row>
    <row outlineLevel="0" r="13">
      <c r="A13" s="1" t="n">
        <v>11</v>
      </c>
      <c r="B13" s="0" t="n">
        <f aca="false" ca="false" dt2D="false" dtr="false" t="normal">SUM(POWER(2, A13), B12)</f>
        <v>4095</v>
      </c>
    </row>
    <row outlineLevel="0" r="14">
      <c r="A14" s="1" t="n">
        <v>12</v>
      </c>
      <c r="B14" s="0" t="n">
        <f aca="false" ca="false" dt2D="false" dtr="false" t="normal">SUM(POWER(2, A14), B13)</f>
        <v>8191</v>
      </c>
    </row>
    <row outlineLevel="0" r="15">
      <c r="A15" s="1" t="n">
        <v>13</v>
      </c>
      <c r="B15" s="0" t="n">
        <f aca="false" ca="false" dt2D="false" dtr="false" t="normal">SUM(POWER(2, A15), B14)</f>
        <v>16383</v>
      </c>
    </row>
    <row outlineLevel="0" r="16">
      <c r="A16" s="1" t="n">
        <v>14</v>
      </c>
      <c r="B16" s="0" t="n">
        <f aca="false" ca="false" dt2D="false" dtr="false" t="normal">SUM(POWER(2, A16), B15)</f>
        <v>32767</v>
      </c>
    </row>
    <row outlineLevel="0" r="17">
      <c r="A17" s="1" t="n">
        <v>15</v>
      </c>
      <c r="B17" s="0" t="n">
        <f aca="false" ca="false" dt2D="false" dtr="false" t="normal">SUM(POWER(2, A17), B16)</f>
        <v>65535</v>
      </c>
    </row>
    <row outlineLevel="0" r="18">
      <c r="A18" s="1" t="n">
        <v>16</v>
      </c>
      <c r="B18" s="0" t="n">
        <f aca="false" ca="false" dt2D="false" dtr="false" t="normal">SUM(POWER(2, A18), B17)</f>
        <v>131071</v>
      </c>
    </row>
    <row outlineLevel="0" r="19">
      <c r="A19" s="1" t="n">
        <v>17</v>
      </c>
      <c r="B19" s="0" t="n">
        <f aca="false" ca="false" dt2D="false" dtr="false" t="normal">SUM(POWER(2, A19), B18)</f>
        <v>262143</v>
      </c>
    </row>
    <row outlineLevel="0" r="20">
      <c r="A20" s="1" t="n">
        <v>18</v>
      </c>
      <c r="B20" s="0" t="n">
        <f aca="false" ca="false" dt2D="false" dtr="false" t="normal">SUM(POWER(2, A20), B19)</f>
        <v>524287</v>
      </c>
    </row>
    <row outlineLevel="0" r="21">
      <c r="A21" s="1" t="n">
        <v>19</v>
      </c>
      <c r="B21" s="0" t="n">
        <f aca="false" ca="false" dt2D="false" dtr="false" t="normal">SUM(POWER(2, A21), B20)</f>
        <v>1048575</v>
      </c>
    </row>
    <row outlineLevel="0" r="22">
      <c r="A22" s="1" t="n">
        <v>20</v>
      </c>
      <c r="B22" s="0" t="n">
        <f aca="false" ca="false" dt2D="false" dtr="false" t="normal">SUM(POWER(2, A22), B21)</f>
        <v>2097151</v>
      </c>
    </row>
    <row outlineLevel="0" r="23">
      <c r="A23" s="1" t="n">
        <v>21</v>
      </c>
      <c r="B23" s="0" t="n">
        <f aca="false" ca="false" dt2D="false" dtr="false" t="normal">SUM(POWER(2, A23), B22)</f>
        <v>4194303</v>
      </c>
    </row>
    <row outlineLevel="0" r="24">
      <c r="A24" s="1" t="n">
        <v>22</v>
      </c>
      <c r="B24" s="0" t="n">
        <f aca="false" ca="false" dt2D="false" dtr="false" t="normal">SUM(POWER(2, A24), B23)</f>
        <v>8388607</v>
      </c>
    </row>
    <row outlineLevel="0" r="25">
      <c r="A25" s="1" t="n">
        <v>23</v>
      </c>
      <c r="B25" s="0" t="n">
        <f aca="false" ca="false" dt2D="false" dtr="false" t="normal">SUM(POWER(2, A25), B24)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140996121526953"/>
    <col bestFit="true" customWidth="true" max="16384" min="2" outlineLevel="0" style="0" width="10.788470377394527"/>
  </cols>
  <sheetData>
    <row outlineLevel="0" r="1">
      <c r="A1" s="1" t="s">
        <v>2</v>
      </c>
      <c r="B1" s="1" t="s">
        <v>3</v>
      </c>
    </row>
    <row outlineLevel="0" r="2">
      <c r="A2" s="1" t="n">
        <v>0</v>
      </c>
      <c r="B2" s="0" t="n">
        <f aca="false" ca="false" dt2D="false" dtr="false" t="normal">POWER(3, A2)</f>
        <v>1</v>
      </c>
    </row>
    <row outlineLevel="0" r="3">
      <c r="A3" s="1" t="n">
        <v>1</v>
      </c>
      <c r="B3" s="0" t="n">
        <f aca="false" ca="false" dt2D="false" dtr="false" t="normal">SUM(POWER(3, A3), B2)</f>
        <v>4</v>
      </c>
    </row>
    <row outlineLevel="0" r="4">
      <c r="A4" s="1" t="n">
        <v>2</v>
      </c>
      <c r="B4" s="0" t="n">
        <f aca="false" ca="false" dt2D="false" dtr="false" t="normal">SUM(POWER(3, A4), B3)</f>
        <v>13</v>
      </c>
    </row>
    <row outlineLevel="0" r="5">
      <c r="A5" s="1" t="n">
        <v>3</v>
      </c>
      <c r="B5" s="0" t="n">
        <f aca="false" ca="false" dt2D="false" dtr="false" t="normal">SUM(POWER(3, A5), B4)</f>
        <v>40</v>
      </c>
    </row>
    <row outlineLevel="0" r="6">
      <c r="A6" s="1" t="n">
        <v>4</v>
      </c>
      <c r="B6" s="0" t="n">
        <f aca="false" ca="false" dt2D="false" dtr="false" t="normal">SUM(POWER(3, A6), B5)</f>
        <v>121</v>
      </c>
    </row>
    <row outlineLevel="0" r="7">
      <c r="A7" s="1" t="n">
        <v>5</v>
      </c>
      <c r="B7" s="0" t="n">
        <f aca="false" ca="false" dt2D="false" dtr="false" t="normal">SUM(POWER(3, A7), B6)</f>
        <v>364</v>
      </c>
    </row>
    <row outlineLevel="0" r="8">
      <c r="A8" s="1" t="n">
        <v>6</v>
      </c>
      <c r="B8" s="0" t="n">
        <f aca="false" ca="false" dt2D="false" dtr="false" t="normal">SUM(POWER(3, A8), B7)</f>
        <v>1093</v>
      </c>
    </row>
    <row outlineLevel="0" r="9">
      <c r="A9" s="1" t="n">
        <v>7</v>
      </c>
      <c r="B9" s="0" t="n">
        <f aca="false" ca="false" dt2D="false" dtr="false" t="normal">SUM(POWER(3, A9), B8)</f>
        <v>3280</v>
      </c>
    </row>
    <row outlineLevel="0" r="10">
      <c r="A10" s="1" t="n">
        <v>8</v>
      </c>
      <c r="B10" s="0" t="n">
        <f aca="false" ca="false" dt2D="false" dtr="false" t="normal">SUM(POWER(3, A10), B9)</f>
        <v>9841</v>
      </c>
    </row>
    <row outlineLevel="0" r="11">
      <c r="A11" s="1" t="n">
        <v>9</v>
      </c>
      <c r="B11" s="0" t="n">
        <f aca="false" ca="false" dt2D="false" dtr="false" t="normal">SUM(POWER(3, A11), B10)</f>
        <v>29524</v>
      </c>
    </row>
    <row outlineLevel="0" r="12">
      <c r="A12" s="1" t="n">
        <v>10</v>
      </c>
      <c r="B12" s="0" t="n">
        <f aca="false" ca="false" dt2D="false" dtr="false" t="normal">SUM(POWER(3, A12), B11)</f>
        <v>88573</v>
      </c>
    </row>
    <row outlineLevel="0" r="13">
      <c r="A13" s="1" t="n">
        <v>11</v>
      </c>
      <c r="B13" s="0" t="n">
        <f aca="false" ca="false" dt2D="false" dtr="false" t="normal">SUM(POWER(3, A13), B12)</f>
        <v>265720</v>
      </c>
    </row>
    <row outlineLevel="0" r="14">
      <c r="A14" s="1" t="n">
        <v>12</v>
      </c>
      <c r="B14" s="0" t="n">
        <f aca="false" ca="false" dt2D="false" dtr="false" t="normal">SUM(POWER(3, A14), B13)</f>
        <v>797161</v>
      </c>
    </row>
    <row outlineLevel="0" r="15">
      <c r="A15" s="1" t="n">
        <v>13</v>
      </c>
      <c r="B15" s="0" t="n">
        <f aca="false" ca="false" dt2D="false" dtr="false" t="normal">SUM(POWER(3, A15), B14)</f>
        <v>2391484</v>
      </c>
    </row>
    <row outlineLevel="0" r="16">
      <c r="A16" s="1" t="n">
        <v>14</v>
      </c>
      <c r="B16" s="0" t="n">
        <f aca="false" ca="false" dt2D="false" dtr="false" t="normal">SUM(POWER(3, A16), B15)</f>
        <v>7174453</v>
      </c>
    </row>
    <row outlineLevel="0" r="17">
      <c r="A17" s="1" t="n">
        <v>15</v>
      </c>
      <c r="B17" s="0" t="n">
        <f aca="false" ca="false" dt2D="false" dtr="false" t="normal">SUM(POWER(3, A17), B16)</f>
        <v>21523360</v>
      </c>
    </row>
    <row outlineLevel="0" r="18">
      <c r="A18" s="1" t="n">
        <v>16</v>
      </c>
      <c r="B18" s="0" t="n">
        <f aca="false" ca="false" dt2D="false" dtr="false" t="normal">SUM(POWER(3, A18), B17)</f>
        <v>64570081</v>
      </c>
    </row>
    <row outlineLevel="0" r="19">
      <c r="A19" s="1" t="n">
        <v>17</v>
      </c>
      <c r="B19" s="0" t="n">
        <f aca="false" ca="false" dt2D="false" dtr="false" t="normal">SUM(POWER(3, A19), B18)</f>
        <v>193710244</v>
      </c>
    </row>
    <row outlineLevel="0" r="20">
      <c r="A20" s="1" t="n">
        <v>18</v>
      </c>
      <c r="B20" s="0" t="n">
        <f aca="false" ca="false" dt2D="false" dtr="false" t="normal">SUM(POWER(3, A20), B19)</f>
        <v>581130733</v>
      </c>
    </row>
    <row outlineLevel="0" r="21">
      <c r="A21" s="1" t="n">
        <v>19</v>
      </c>
      <c r="B21" s="0" t="n">
        <f aca="false" ca="false" dt2D="false" dtr="false" t="normal">SUM(POWER(3, A21), B20)</f>
        <v>1743392200</v>
      </c>
    </row>
    <row outlineLevel="0" r="22">
      <c r="A22" s="1" t="n">
        <v>20</v>
      </c>
      <c r="B22" s="0" t="n">
        <f aca="false" ca="false" dt2D="false" dtr="false" t="normal">SUM(POWER(3, A22), B21)</f>
        <v>5230176601</v>
      </c>
    </row>
    <row outlineLevel="0" r="23">
      <c r="A23" s="1" t="n">
        <v>21</v>
      </c>
      <c r="B23" s="0" t="n">
        <f aca="false" ca="false" dt2D="false" dtr="false" t="normal">SUM(POWER(3, A23), B22)</f>
        <v>15690529804</v>
      </c>
    </row>
    <row outlineLevel="0" r="24">
      <c r="A24" s="1" t="n">
        <v>22</v>
      </c>
      <c r="B24" s="0" t="n">
        <f aca="false" ca="false" dt2D="false" dtr="false" t="normal">SUM(POWER(3, A24), B23)</f>
        <v>47071589413</v>
      </c>
    </row>
    <row outlineLevel="0" r="25">
      <c r="A25" s="1" t="n">
        <v>23</v>
      </c>
      <c r="B25" s="0" t="n">
        <f aca="false" ca="false" dt2D="false" dtr="false" t="normal">SUM(POWER(3, A25), B24)</f>
        <v>141214768240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140996121526953"/>
    <col bestFit="true" customWidth="true" max="4" min="4" outlineLevel="0" width="11.579130103511094"/>
  </cols>
  <sheetData>
    <row outlineLevel="0" r="1">
      <c r="A1" s="1" t="s">
        <v>4</v>
      </c>
      <c r="B1" s="1" t="s">
        <v>5</v>
      </c>
      <c r="C1" s="1" t="s">
        <v>6</v>
      </c>
    </row>
    <row outlineLevel="0" r="2">
      <c r="A2" s="1" t="n">
        <v>0</v>
      </c>
      <c r="B2" s="0" t="n">
        <f aca="false" ca="false" dt2D="false" dtr="false" t="normal">VLOOKUP(A2, 'Лист1'!A1:B25, 2, )</f>
        <v>1</v>
      </c>
      <c r="C2" s="0" t="n">
        <f aca="false" ca="false" dt2D="false" dtr="false" t="normal">VLOOKUP(A2, 'Лист2'!A1:B25, 2, )</f>
        <v>1</v>
      </c>
      <c r="D2" s="0" t="s">
        <v>7</v>
      </c>
    </row>
    <row outlineLevel="0" r="3">
      <c r="A3" s="1" t="n">
        <v>1</v>
      </c>
      <c r="B3" s="0" t="n">
        <f aca="false" ca="false" dt2D="false" dtr="false" t="normal">VLOOKUP(A3, 'Лист1'!A2:B26, 2, )</f>
        <v>3</v>
      </c>
      <c r="C3" s="0" t="n">
        <f aca="false" ca="false" dt2D="false" dtr="false" t="normal">VLOOKUP(A3, 'Лист2'!A2:B26, 2, )</f>
        <v>4</v>
      </c>
    </row>
    <row outlineLevel="0" r="4">
      <c r="A4" s="1" t="n">
        <v>2</v>
      </c>
      <c r="B4" s="0" t="n">
        <f aca="false" ca="false" dt2D="false" dtr="false" t="normal">VLOOKUP(A4, 'Лист1'!A3:B27, 2, )</f>
        <v>7</v>
      </c>
      <c r="C4" s="0" t="n">
        <f aca="false" ca="false" dt2D="false" dtr="false" t="normal">VLOOKUP(A4, 'Лист2'!A3:B27, 2, )</f>
        <v>13</v>
      </c>
    </row>
    <row outlineLevel="0" r="5">
      <c r="A5" s="1" t="n">
        <v>3</v>
      </c>
      <c r="B5" s="0" t="n">
        <f aca="false" ca="false" dt2D="false" dtr="false" t="normal">VLOOKUP(A5, 'Лист1'!A4:B28, 2, )</f>
        <v>15</v>
      </c>
      <c r="C5" s="0" t="n">
        <f aca="false" ca="false" dt2D="false" dtr="false" t="normal">VLOOKUP(A5, 'Лист2'!A4:B28, 2, )</f>
        <v>40</v>
      </c>
    </row>
    <row outlineLevel="0" r="6">
      <c r="A6" s="1" t="n">
        <v>4</v>
      </c>
      <c r="B6" s="0" t="n">
        <f aca="false" ca="false" dt2D="false" dtr="false" t="normal">VLOOKUP(A6, 'Лист1'!A5:B29, 2, )</f>
        <v>31</v>
      </c>
      <c r="C6" s="0" t="n">
        <f aca="false" ca="false" dt2D="false" dtr="false" t="normal">VLOOKUP(A6, 'Лист2'!A5:B29, 2, )</f>
        <v>121</v>
      </c>
    </row>
    <row outlineLevel="0" r="7">
      <c r="A7" s="1" t="n">
        <v>5</v>
      </c>
      <c r="B7" s="0" t="n">
        <f aca="false" ca="false" dt2D="false" dtr="false" t="normal">VLOOKUP(A7, 'Лист1'!A6:B30, 2, )</f>
        <v>63</v>
      </c>
      <c r="C7" s="0" t="n">
        <f aca="false" ca="false" dt2D="false" dtr="false" t="normal">VLOOKUP(A7, 'Лист2'!A6:B30, 2, )</f>
        <v>364</v>
      </c>
    </row>
    <row outlineLevel="0" r="8">
      <c r="A8" s="1" t="n">
        <v>6</v>
      </c>
      <c r="B8" s="0" t="n">
        <f aca="false" ca="false" dt2D="false" dtr="false" t="normal">VLOOKUP(A8, 'Лист1'!A7:B31, 2, )</f>
        <v>127</v>
      </c>
      <c r="C8" s="0" t="n">
        <f aca="false" ca="false" dt2D="false" dtr="false" t="normal">VLOOKUP(A8, 'Лист2'!A7:B31, 2, )</f>
        <v>1093</v>
      </c>
    </row>
    <row outlineLevel="0" r="9">
      <c r="A9" s="1" t="n">
        <v>7</v>
      </c>
      <c r="B9" s="0" t="n">
        <f aca="false" ca="false" dt2D="false" dtr="false" t="normal">VLOOKUP(A9, 'Лист1'!A8:B32, 2, )</f>
        <v>255</v>
      </c>
      <c r="C9" s="0" t="n">
        <f aca="false" ca="false" dt2D="false" dtr="false" t="normal">VLOOKUP(A9, 'Лист2'!A8:B32, 2, )</f>
        <v>3280</v>
      </c>
    </row>
    <row outlineLevel="0" r="10">
      <c r="A10" s="1" t="n">
        <v>8</v>
      </c>
      <c r="B10" s="0" t="n">
        <f aca="false" ca="false" dt2D="false" dtr="false" t="normal">VLOOKUP(A10, 'Лист1'!A9:B33, 2, )</f>
        <v>511</v>
      </c>
      <c r="C10" s="0" t="n">
        <f aca="false" ca="false" dt2D="false" dtr="false" t="normal">VLOOKUP(A10, 'Лист2'!A9:B33, 2, )</f>
        <v>9841</v>
      </c>
    </row>
    <row outlineLevel="0" r="11">
      <c r="A11" s="1" t="n">
        <v>9</v>
      </c>
      <c r="B11" s="0" t="n">
        <f aca="false" ca="false" dt2D="false" dtr="false" t="normal">VLOOKUP(A11, 'Лист1'!A10:B34, 2, )</f>
        <v>1023</v>
      </c>
      <c r="C11" s="0" t="n">
        <f aca="false" ca="false" dt2D="false" dtr="false" t="normal">VLOOKUP(A11, 'Лист2'!A10:B34, 2, )</f>
        <v>29524</v>
      </c>
    </row>
    <row outlineLevel="0" r="12">
      <c r="A12" s="1" t="n">
        <v>10</v>
      </c>
      <c r="B12" s="0" t="n">
        <f aca="false" ca="false" dt2D="false" dtr="false" t="normal">VLOOKUP(A12, 'Лист1'!A11:B35, 2, )</f>
        <v>2047</v>
      </c>
      <c r="C12" s="0" t="n">
        <f aca="false" ca="false" dt2D="false" dtr="false" t="normal">VLOOKUP(A12, 'Лист2'!A11:B35, 2, )</f>
        <v>88573</v>
      </c>
    </row>
    <row outlineLevel="0" r="13">
      <c r="A13" s="1" t="n">
        <v>11</v>
      </c>
      <c r="B13" s="0" t="n">
        <f aca="false" ca="false" dt2D="false" dtr="false" t="normal">VLOOKUP(A13, 'Лист1'!A12:B36, 2, )</f>
        <v>4095</v>
      </c>
      <c r="C13" s="0" t="n">
        <f aca="false" ca="false" dt2D="false" dtr="false" t="normal">VLOOKUP(A13, 'Лист2'!A12:B36, 2, )</f>
        <v>265720</v>
      </c>
    </row>
    <row outlineLevel="0" r="14">
      <c r="A14" s="1" t="n">
        <v>12</v>
      </c>
      <c r="B14" s="0" t="n">
        <f aca="false" ca="false" dt2D="false" dtr="false" t="normal">VLOOKUP(A14, 'Лист1'!A13:B37, 2, )</f>
        <v>8191</v>
      </c>
      <c r="C14" s="0" t="n">
        <f aca="false" ca="false" dt2D="false" dtr="false" t="normal">VLOOKUP(A14, 'Лист2'!A13:B37, 2, )</f>
        <v>797161</v>
      </c>
    </row>
    <row outlineLevel="0" r="15">
      <c r="A15" s="1" t="n">
        <v>13</v>
      </c>
      <c r="B15" s="0" t="n">
        <f aca="false" ca="false" dt2D="false" dtr="false" t="normal">VLOOKUP(A15, 'Лист1'!A14:B38, 2, )</f>
        <v>16383</v>
      </c>
      <c r="C15" s="0" t="n">
        <f aca="false" ca="false" dt2D="false" dtr="false" t="normal">VLOOKUP(A15, 'Лист2'!A14:B38, 2, )</f>
        <v>2391484</v>
      </c>
    </row>
    <row outlineLevel="0" r="16">
      <c r="A16" s="1" t="n">
        <v>14</v>
      </c>
      <c r="B16" s="0" t="n">
        <f aca="false" ca="false" dt2D="false" dtr="false" t="normal">VLOOKUP(A16, 'Лист1'!A15:B39, 2, )</f>
        <v>32767</v>
      </c>
      <c r="C16" s="0" t="n">
        <f aca="false" ca="false" dt2D="false" dtr="false" t="normal">VLOOKUP(A16, 'Лист2'!A15:B39, 2, )</f>
        <v>7174453</v>
      </c>
    </row>
    <row outlineLevel="0" r="17">
      <c r="A17" s="1" t="n">
        <v>15</v>
      </c>
      <c r="B17" s="0" t="n">
        <f aca="false" ca="false" dt2D="false" dtr="false" t="normal">VLOOKUP(A17, 'Лист1'!A16:B40, 2, )</f>
        <v>65535</v>
      </c>
      <c r="C17" s="0" t="n">
        <f aca="false" ca="false" dt2D="false" dtr="false" t="normal">VLOOKUP(A17, 'Лист2'!A16:B40, 2, )</f>
        <v>21523360</v>
      </c>
    </row>
    <row outlineLevel="0" r="18">
      <c r="A18" s="1" t="n">
        <v>16</v>
      </c>
      <c r="B18" s="0" t="n">
        <f aca="false" ca="false" dt2D="false" dtr="false" t="normal">VLOOKUP(A18, 'Лист1'!A17:B41, 2, )</f>
        <v>131071</v>
      </c>
      <c r="C18" s="0" t="n">
        <f aca="false" ca="false" dt2D="false" dtr="false" t="normal">VLOOKUP(A18, 'Лист2'!A17:B41, 2, )</f>
        <v>64570081</v>
      </c>
    </row>
    <row outlineLevel="0" r="19">
      <c r="A19" s="1" t="n">
        <v>17</v>
      </c>
      <c r="B19" s="0" t="n">
        <f aca="false" ca="false" dt2D="false" dtr="false" t="normal">VLOOKUP(A19, 'Лист1'!A18:B42, 2, )</f>
        <v>262143</v>
      </c>
      <c r="C19" s="0" t="n">
        <f aca="false" ca="false" dt2D="false" dtr="false" t="normal">VLOOKUP(A19, 'Лист2'!A18:B42, 2, )</f>
        <v>193710244</v>
      </c>
    </row>
    <row outlineLevel="0" r="20">
      <c r="A20" s="1" t="n">
        <v>18</v>
      </c>
      <c r="B20" s="0" t="n">
        <f aca="false" ca="false" dt2D="false" dtr="false" t="normal">VLOOKUP(A20, 'Лист1'!A19:B43, 2, )</f>
        <v>524287</v>
      </c>
      <c r="C20" s="0" t="n">
        <f aca="false" ca="false" dt2D="false" dtr="false" t="normal">VLOOKUP(A20, 'Лист2'!A19:B43, 2, )</f>
        <v>581130733</v>
      </c>
    </row>
    <row outlineLevel="0" r="21">
      <c r="A21" s="1" t="n">
        <v>19</v>
      </c>
      <c r="B21" s="0" t="n">
        <f aca="false" ca="false" dt2D="false" dtr="false" t="normal">VLOOKUP(A21, 'Лист1'!A20:B44, 2, )</f>
        <v>1048575</v>
      </c>
      <c r="C21" s="0" t="n">
        <f aca="false" ca="false" dt2D="false" dtr="false" t="normal">VLOOKUP(A21, 'Лист2'!A20:B44, 2, )</f>
        <v>1743392200</v>
      </c>
    </row>
    <row outlineLevel="0" r="22">
      <c r="A22" s="1" t="n">
        <v>20</v>
      </c>
      <c r="B22" s="0" t="n">
        <f aca="false" ca="false" dt2D="false" dtr="false" t="normal">VLOOKUP(A22, 'Лист1'!A21:B45, 2, )</f>
        <v>2097151</v>
      </c>
      <c r="C22" s="0" t="n">
        <f aca="false" ca="false" dt2D="false" dtr="false" t="normal">VLOOKUP(A22, 'Лист2'!A21:B45, 2, )</f>
        <v>5230176601</v>
      </c>
    </row>
    <row outlineLevel="0" r="23">
      <c r="A23" s="1" t="n">
        <v>21</v>
      </c>
      <c r="B23" s="0" t="n">
        <f aca="false" ca="false" dt2D="false" dtr="false" t="normal">VLOOKUP(A23, 'Лист1'!A22:B46, 2, )</f>
        <v>4194303</v>
      </c>
      <c r="C23" s="0" t="n">
        <f aca="false" ca="false" dt2D="false" dtr="false" t="normal">VLOOKUP(A23, 'Лист2'!A22:B46, 2, )</f>
        <v>15690529804</v>
      </c>
    </row>
    <row outlineLevel="0" r="24">
      <c r="A24" s="1" t="n">
        <v>22</v>
      </c>
      <c r="B24" s="0" t="n">
        <f aca="false" ca="false" dt2D="false" dtr="false" t="normal">VLOOKUP(A24, 'Лист1'!A23:B47, 2, )</f>
        <v>8388607</v>
      </c>
      <c r="C24" s="0" t="n">
        <f aca="false" ca="false" dt2D="false" dtr="false" t="normal">VLOOKUP(A24, 'Лист2'!A23:B47, 2, )</f>
        <v>47071589413</v>
      </c>
    </row>
    <row outlineLevel="0" r="25">
      <c r="A25" s="1" t="n">
        <v>23</v>
      </c>
      <c r="B25" s="0" t="n">
        <f aca="false" ca="false" dt2D="false" dtr="false" t="normal">VLOOKUP(A25, 'Лист1'!A24:B48, 2, )</f>
        <v>16777215</v>
      </c>
      <c r="C25" s="0" t="n">
        <f aca="false" ca="false" dt2D="false" dtr="false" t="normal">VLOOKUP(A25, 'Лист2'!A24:B48, 2, 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140996121526953"/>
    <col customWidth="true" max="4" min="2" outlineLevel="0" width="15.084598484913844"/>
  </cols>
  <sheetData>
    <row outlineLevel="0" r="1">
      <c r="A1" s="1" t="s">
        <v>8</v>
      </c>
      <c r="B1" s="1" t="s">
        <v>9</v>
      </c>
      <c r="C1" s="1" t="s">
        <v>10</v>
      </c>
      <c r="D1" s="1" t="s">
        <v>11</v>
      </c>
    </row>
    <row outlineLevel="0" r="2">
      <c r="A2" s="1" t="s">
        <v>12</v>
      </c>
      <c r="B2" s="1" t="n">
        <f aca="false" ca="false" dt2D="false" dtr="false" t="normal">AVERAGE('Лист3'!A2:A25)</f>
        <v>11.5</v>
      </c>
      <c r="C2" s="1" t="n">
        <f aca="false" ca="false" dt2D="false" dtr="false" t="normal">AVERAGE('Лист3'!B2:B25)</f>
        <v>1398100.25</v>
      </c>
      <c r="D2" s="1" t="n">
        <f aca="false" ca="false" dt2D="false" dtr="false" t="normal">AVERAGE('Лист3'!C2:C25)</f>
        <v>8825923014.5</v>
      </c>
      <c r="E2" s="0" t="s">
        <v>7</v>
      </c>
    </row>
    <row outlineLevel="0" r="3">
      <c r="A3" s="1" t="s">
        <v>13</v>
      </c>
      <c r="B3" s="1" t="n">
        <f aca="false" ca="false" dt2D="false" dtr="false" t="normal">MAX('Лист3'!A2:A25)</f>
        <v>23</v>
      </c>
      <c r="C3" s="1" t="n">
        <f aca="false" ca="false" dt2D="false" dtr="false" t="normal">MAX('Лист3'!B2:B25)</f>
        <v>16777215</v>
      </c>
      <c r="D3" s="1" t="n">
        <f aca="false" ca="false" dt2D="false" dtr="false" t="normal">MAX('Лист3'!C2:C25)</f>
        <v>141214768240</v>
      </c>
    </row>
    <row outlineLevel="0" r="4">
      <c r="A4" s="1" t="s">
        <v>14</v>
      </c>
      <c r="B4" s="1" t="n">
        <f aca="false" ca="false" dt2D="false" dtr="false" t="normal">MIN('Лист3'!A2:A25)</f>
        <v>0</v>
      </c>
      <c r="C4" s="1" t="n">
        <f aca="false" ca="false" dt2D="false" dtr="false" t="normal">MIN('Лист3'!B2:B25)</f>
        <v>1</v>
      </c>
      <c r="D4" s="1" t="n">
        <f aca="false" ca="false" dt2D="false" dtr="false" t="normal">MIN('Лист3'!C2:C25)</f>
        <v>1</v>
      </c>
    </row>
    <row outlineLevel="0" r="5">
      <c r="A5" s="1" t="s">
        <v>15</v>
      </c>
      <c r="B5" s="1" t="n">
        <f aca="false" ca="false" dt2D="false" dtr="false" t="normal">MEDIAN('Лист3'!A2:A25)</f>
        <v>11.5</v>
      </c>
      <c r="C5" s="1" t="n">
        <f aca="false" ca="false" dt2D="false" dtr="false" t="normal">MEDIAN('Лист3'!B2:B25)</f>
        <v>6143</v>
      </c>
      <c r="D5" s="1" t="n">
        <f aca="false" ca="false" dt2D="false" dtr="false" t="normal">MEDIAN('Лист3'!C2:C25)</f>
        <v>531440.5</v>
      </c>
    </row>
    <row outlineLevel="0" r="6">
      <c r="A6" s="1" t="s">
        <v>16</v>
      </c>
      <c r="B6" s="1" t="e">
        <f aca="false" ca="false" dt2D="false" dtr="false" t="normal">MODE('Лист3'!A2:A25)</f>
        <v>#N/A</v>
      </c>
      <c r="C6" s="1" t="e">
        <f aca="false" ca="false" dt2D="false" dtr="false" t="normal">MODE('Лист3'!B2:B25)</f>
        <v>#N/A</v>
      </c>
      <c r="D6" s="1" t="e">
        <f aca="false" ca="false" dt2D="false" dtr="false" t="normal">MODE('Лист3'!C2:C25)</f>
        <v>#N/A</v>
      </c>
    </row>
    <row outlineLevel="0" r="7">
      <c r="A7" s="1" t="s">
        <v>17</v>
      </c>
      <c r="B7" s="1" t="n">
        <f aca="false" ca="false" dt2D="false" dtr="false" t="normal">VAR('Лист3'!A2:A25)</f>
        <v>50</v>
      </c>
      <c r="C7" s="1" t="n">
        <f aca="false" ca="false" dt2D="false" dtr="false" t="normal">VAR('Лист3'!B2:B25)</f>
        <v>14277716453108.805</v>
      </c>
      <c r="D7" s="1" t="n">
        <f aca="false" ca="false" dt2D="false" dtr="false" t="normal">VAR('Лист3'!C2:C25)</f>
        <v>8.9412113503345364E+20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18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19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20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21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2026-05-04T11:26:15Z</dcterms:created>
  <dcterms:modified xsi:type="dcterms:W3CDTF">2026-05-04T12:33:01Z</dcterms:modified>
</cp:coreProperties>
</file>